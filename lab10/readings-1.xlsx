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B\Sem5\Devices lab\Lab_10\"/>
    </mc:Choice>
  </mc:AlternateContent>
  <xr:revisionPtr revIDLastSave="0" documentId="8_{8C2302C5-9EDC-434E-8768-A1F1570A52E0}" xr6:coauthVersionLast="47" xr6:coauthVersionMax="47" xr10:uidLastSave="{00000000-0000-0000-0000-000000000000}"/>
  <bookViews>
    <workbookView xWindow="-98" yWindow="-98" windowWidth="21795" windowHeight="12975" activeTab="1" xr2:uid="{4DA14164-1F19-4F85-A38A-35B3CE41158E}"/>
  </bookViews>
  <sheets>
    <sheet name="NCAP" sheetId="1" r:id="rId1"/>
    <sheet name="PC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<sst xmlns="http://schemas.openxmlformats.org/spreadsheetml/2006/main" count="14" uniqueCount="12">
  <si>
    <t>2mm circle</t>
  </si>
  <si>
    <t>Vdc</t>
  </si>
  <si>
    <t>Vdut(p-p)</t>
  </si>
  <si>
    <t>Vout</t>
  </si>
  <si>
    <t>AC gain</t>
  </si>
  <si>
    <t>Cdut</t>
  </si>
  <si>
    <t>Vdut(p-p)(mV)</t>
  </si>
  <si>
    <t>Vout(p-p)(mV)</t>
  </si>
  <si>
    <t>AC Gain</t>
  </si>
  <si>
    <t>Circular 2mm</t>
  </si>
  <si>
    <t>MOSCAP</t>
  </si>
  <si>
    <t>PMOS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</si>
</sst>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2" fillId="0" borderId="0" xfId="1" applyFont="1"/>
  </cellXfs>
  <cellStyles count="2">
    <cellStyle name="Normal" xfId="0" builtinId="0"/>
    <cellStyle name="Normal 2" xfId="1" xr:uid="{1694640F-C643-48CE-AE12-C20C351A4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E82B-CC02-4F8A-8B75-2CB5CAC269FE}">
  <dimension ref="A1:E29"/>
  <sheetViews>
    <sheetView workbookViewId="0">
      <selection sqref="A1:E29"/>
    </sheetView>
  </sheetViews>
  <sheetFormatPr defaultRowHeight="14.25" x14ac:dyDescent="0.45"/>
  <sheetData>
    <row r="1" spans="1:5" x14ac:dyDescent="0.45">
      <c r="A1" t="s">
        <v>0</v>
      </c>
    </row>
    <row r="2" spans="1:5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45">
      <c r="A3">
        <v>-5</v>
      </c>
      <c r="B3">
        <v>100</v>
      </c>
      <c r="C3">
        <v>390</v>
      </c>
      <c r="D3">
        <f>C3/B3</f>
        <v>3.9</v>
      </c>
    </row>
    <row r="4" spans="1:5" x14ac:dyDescent="0.45">
      <c r="A4">
        <v>-4.5</v>
      </c>
      <c r="B4">
        <v>100</v>
      </c>
      <c r="C4">
        <v>380</v>
      </c>
      <c r="D4">
        <f t="shared" ref="D4:D11" si="0">C4/B4</f>
        <v>3.8</v>
      </c>
    </row>
    <row r="5" spans="1:5" x14ac:dyDescent="0.45">
      <c r="A5">
        <v>-4</v>
      </c>
      <c r="B5">
        <v>101</v>
      </c>
      <c r="C5">
        <v>380</v>
      </c>
      <c r="D5">
        <f t="shared" si="0"/>
        <v>3.7623762376237622</v>
      </c>
    </row>
    <row r="6" spans="1:5" x14ac:dyDescent="0.45">
      <c r="A6">
        <v>-3.5</v>
      </c>
      <c r="B6">
        <v>103</v>
      </c>
      <c r="C6">
        <v>378</v>
      </c>
      <c r="D6">
        <f t="shared" si="0"/>
        <v>3.6699029126213594</v>
      </c>
    </row>
    <row r="7" spans="1:5" x14ac:dyDescent="0.45">
      <c r="A7">
        <v>-3</v>
      </c>
      <c r="B7">
        <v>100</v>
      </c>
      <c r="C7">
        <v>376</v>
      </c>
      <c r="D7">
        <f t="shared" si="0"/>
        <v>3.76</v>
      </c>
    </row>
    <row r="8" spans="1:5" x14ac:dyDescent="0.45">
      <c r="A8">
        <v>-2.5</v>
      </c>
      <c r="B8">
        <v>98</v>
      </c>
      <c r="C8">
        <v>380</v>
      </c>
      <c r="D8">
        <f t="shared" si="0"/>
        <v>3.8775510204081631</v>
      </c>
    </row>
    <row r="9" spans="1:5" x14ac:dyDescent="0.45">
      <c r="A9">
        <v>-2</v>
      </c>
      <c r="B9">
        <v>102</v>
      </c>
      <c r="C9">
        <v>382</v>
      </c>
      <c r="D9">
        <f t="shared" si="0"/>
        <v>3.7450980392156863</v>
      </c>
    </row>
    <row r="10" spans="1:5" x14ac:dyDescent="0.45">
      <c r="A10">
        <v>-1.5</v>
      </c>
      <c r="B10">
        <v>104</v>
      </c>
      <c r="C10">
        <v>382</v>
      </c>
      <c r="D10">
        <f t="shared" si="0"/>
        <v>3.6730769230769229</v>
      </c>
    </row>
    <row r="11" spans="1:5" x14ac:dyDescent="0.45">
      <c r="A11">
        <v>-1</v>
      </c>
      <c r="B11">
        <v>100</v>
      </c>
      <c r="C11">
        <v>382</v>
      </c>
      <c r="D11">
        <f t="shared" si="0"/>
        <v>3.82</v>
      </c>
    </row>
    <row r="12" spans="1:5" x14ac:dyDescent="0.45">
      <c r="A12">
        <v>-0.8</v>
      </c>
      <c r="B12">
        <v>100</v>
      </c>
      <c r="C12">
        <v>384</v>
      </c>
      <c r="D12">
        <f>C12/B12</f>
        <v>3.84</v>
      </c>
    </row>
    <row r="13" spans="1:5" x14ac:dyDescent="0.45">
      <c r="A13">
        <v>-0.7</v>
      </c>
      <c r="B13">
        <v>99</v>
      </c>
      <c r="C13">
        <v>384</v>
      </c>
      <c r="D13">
        <f>C13/B13</f>
        <v>3.8787878787878789</v>
      </c>
    </row>
    <row r="14" spans="1:5" x14ac:dyDescent="0.45">
      <c r="A14">
        <v>-0.5</v>
      </c>
      <c r="B14">
        <v>100</v>
      </c>
      <c r="C14">
        <v>384</v>
      </c>
      <c r="D14">
        <f>C14/B14</f>
        <v>3.84</v>
      </c>
    </row>
    <row r="15" spans="1:5" x14ac:dyDescent="0.45">
      <c r="A15">
        <v>-0.4</v>
      </c>
      <c r="B15">
        <v>100</v>
      </c>
      <c r="C15">
        <v>384</v>
      </c>
      <c r="D15">
        <f>C15/B15</f>
        <v>3.84</v>
      </c>
    </row>
    <row r="16" spans="1:5" x14ac:dyDescent="0.45">
      <c r="A16">
        <v>-0.3</v>
      </c>
      <c r="B16">
        <v>101</v>
      </c>
      <c r="C16">
        <v>384</v>
      </c>
      <c r="D16">
        <f>C16/B16</f>
        <v>3.8019801980198018</v>
      </c>
    </row>
    <row r="17" spans="1:4" x14ac:dyDescent="0.45">
      <c r="A17">
        <v>-0.2</v>
      </c>
      <c r="B17">
        <v>101</v>
      </c>
      <c r="C17">
        <v>390</v>
      </c>
      <c r="D17">
        <f>C17/B17</f>
        <v>3.8613861386138613</v>
      </c>
    </row>
    <row r="18" spans="1:4" x14ac:dyDescent="0.45">
      <c r="A18">
        <v>-0.1</v>
      </c>
      <c r="B18">
        <v>99</v>
      </c>
      <c r="C18">
        <v>390</v>
      </c>
      <c r="D18">
        <f>C18/B18</f>
        <v>3.9393939393939394</v>
      </c>
    </row>
    <row r="19" spans="1:4" x14ac:dyDescent="0.45">
      <c r="A19">
        <v>0</v>
      </c>
      <c r="B19">
        <v>100</v>
      </c>
      <c r="C19">
        <v>394</v>
      </c>
      <c r="D19">
        <f>C19/B19</f>
        <v>3.94</v>
      </c>
    </row>
    <row r="20" spans="1:4" x14ac:dyDescent="0.45">
      <c r="A20">
        <v>0.5</v>
      </c>
      <c r="B20">
        <v>104</v>
      </c>
      <c r="C20">
        <v>348</v>
      </c>
      <c r="D20">
        <f>C20/B20</f>
        <v>3.3461538461538463</v>
      </c>
    </row>
    <row r="21" spans="1:4" x14ac:dyDescent="0.45">
      <c r="A21">
        <v>1</v>
      </c>
      <c r="B21">
        <v>100</v>
      </c>
      <c r="C21">
        <v>286</v>
      </c>
      <c r="D21">
        <f>C21/B21</f>
        <v>2.86</v>
      </c>
    </row>
    <row r="22" spans="1:4" x14ac:dyDescent="0.45">
      <c r="A22">
        <v>1.5</v>
      </c>
      <c r="B22">
        <v>99</v>
      </c>
      <c r="C22">
        <v>242</v>
      </c>
      <c r="D22">
        <f>C22/B22</f>
        <v>2.4444444444444446</v>
      </c>
    </row>
    <row r="23" spans="1:4" x14ac:dyDescent="0.45">
      <c r="A23">
        <v>2</v>
      </c>
      <c r="B23">
        <v>100</v>
      </c>
      <c r="C23">
        <v>215</v>
      </c>
      <c r="D23">
        <f>C23/B23</f>
        <v>2.15</v>
      </c>
    </row>
    <row r="24" spans="1:4" x14ac:dyDescent="0.45">
      <c r="A24">
        <v>2.5</v>
      </c>
      <c r="B24">
        <v>104</v>
      </c>
      <c r="C24">
        <v>198</v>
      </c>
      <c r="D24">
        <f>C24/B24</f>
        <v>1.9038461538461537</v>
      </c>
    </row>
    <row r="25" spans="1:4" x14ac:dyDescent="0.45">
      <c r="A25">
        <v>3</v>
      </c>
      <c r="B25">
        <v>103</v>
      </c>
      <c r="C25">
        <v>183</v>
      </c>
      <c r="D25">
        <f>C25/B25</f>
        <v>1.7766990291262137</v>
      </c>
    </row>
    <row r="26" spans="1:4" x14ac:dyDescent="0.45">
      <c r="A26">
        <v>3.5</v>
      </c>
      <c r="B26">
        <v>102</v>
      </c>
      <c r="C26">
        <v>172</v>
      </c>
      <c r="D26">
        <f>C26/B26</f>
        <v>1.6862745098039216</v>
      </c>
    </row>
    <row r="27" spans="1:4" x14ac:dyDescent="0.45">
      <c r="A27">
        <v>4</v>
      </c>
      <c r="B27">
        <v>100</v>
      </c>
      <c r="C27">
        <v>163</v>
      </c>
      <c r="D27">
        <f>C27/B27</f>
        <v>1.63</v>
      </c>
    </row>
    <row r="28" spans="1:4" x14ac:dyDescent="0.45">
      <c r="A28">
        <v>4.5</v>
      </c>
      <c r="B28">
        <v>102</v>
      </c>
      <c r="C28">
        <v>155</v>
      </c>
      <c r="D28">
        <f>C28/B28</f>
        <v>1.5196078431372548</v>
      </c>
    </row>
    <row r="29" spans="1:4" x14ac:dyDescent="0.45">
      <c r="A29">
        <v>5</v>
      </c>
      <c r="B29">
        <v>104</v>
      </c>
      <c r="C29">
        <v>147</v>
      </c>
      <c r="D29">
        <f>C29/B29</f>
        <v>1.4134615384615385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1EE8-7292-4564-99EC-BB972ECA262A}">
  <dimension ref="A1:E24"/>
  <sheetViews>
    <sheetView tabSelected="1" workbookViewId="0">
      <selection activeCell="I8" sqref="I8"/>
    </sheetView>
  </sheetViews>
  <sheetFormatPr defaultRowHeight="14.25" x14ac:dyDescent="0.45"/>
  <sheetData>
    <row r="1" spans="1:5" x14ac:dyDescent="0.45">
      <c r="A1" s="2" t="s">
        <v>9</v>
      </c>
      <c r="B1" s="2" t="s">
        <v>10</v>
      </c>
      <c r="C1" s="2" t="s">
        <v>11</v>
      </c>
    </row>
    <row r="2" spans="1:5" x14ac:dyDescent="0.45">
      <c r="A2" s="1" t="s">
        <v>1</v>
      </c>
      <c r="B2" s="1" t="s">
        <v>6</v>
      </c>
      <c r="C2" s="1" t="s">
        <v>7</v>
      </c>
      <c r="D2" s="1" t="s">
        <v>8</v>
      </c>
      <c r="E2" s="1" t="s">
        <v>5</v>
      </c>
    </row>
    <row r="4" spans="1:5" x14ac:dyDescent="0.45">
      <c r="A4" s="1">
        <v>-5</v>
      </c>
      <c r="B4" s="1">
        <v>200</v>
      </c>
      <c r="C4" s="1">
        <v>1680</v>
      </c>
      <c r="D4" s="1">
        <v>8.4</v>
      </c>
      <c r="E4" s="1">
        <v>1008</v>
      </c>
    </row>
    <row r="5" spans="1:5" x14ac:dyDescent="0.45">
      <c r="A5" s="1">
        <v>-4.5</v>
      </c>
      <c r="B5" s="1">
        <v>200</v>
      </c>
      <c r="C5" s="1">
        <v>1680</v>
      </c>
      <c r="D5" s="1">
        <v>8.4</v>
      </c>
      <c r="E5" s="1">
        <v>1008</v>
      </c>
    </row>
    <row r="6" spans="1:5" x14ac:dyDescent="0.45">
      <c r="A6" s="1">
        <v>-4</v>
      </c>
      <c r="B6" s="1">
        <v>200</v>
      </c>
      <c r="C6" s="1">
        <v>1680</v>
      </c>
      <c r="D6" s="1">
        <v>8.4</v>
      </c>
      <c r="E6" s="1">
        <v>1008</v>
      </c>
    </row>
    <row r="7" spans="1:5" x14ac:dyDescent="0.45">
      <c r="A7" s="1">
        <v>-3.5</v>
      </c>
      <c r="B7" s="1">
        <v>200</v>
      </c>
      <c r="C7" s="1">
        <v>1680</v>
      </c>
      <c r="D7" s="1">
        <v>8.4</v>
      </c>
      <c r="E7" s="1">
        <v>1008</v>
      </c>
    </row>
    <row r="8" spans="1:5" x14ac:dyDescent="0.45">
      <c r="A8" s="1">
        <v>-3</v>
      </c>
      <c r="B8" s="1">
        <v>200</v>
      </c>
      <c r="C8" s="1">
        <v>1660</v>
      </c>
      <c r="D8" s="1">
        <v>8.3000000000000007</v>
      </c>
      <c r="E8" s="1">
        <v>996</v>
      </c>
    </row>
    <row r="9" spans="1:5" x14ac:dyDescent="0.45">
      <c r="A9" s="1">
        <v>-2.5</v>
      </c>
      <c r="B9" s="1">
        <v>200</v>
      </c>
      <c r="C9" s="1">
        <v>1660</v>
      </c>
      <c r="D9" s="1">
        <v>8.3000000000000007</v>
      </c>
      <c r="E9" s="1">
        <v>996</v>
      </c>
    </row>
    <row r="10" spans="1:5" x14ac:dyDescent="0.45">
      <c r="A10" s="1">
        <v>-2</v>
      </c>
      <c r="B10" s="1">
        <v>200</v>
      </c>
      <c r="C10" s="1">
        <v>1660</v>
      </c>
      <c r="D10" s="1">
        <v>8.3000000000000007</v>
      </c>
      <c r="E10" s="1">
        <v>996</v>
      </c>
    </row>
    <row r="11" spans="1:5" x14ac:dyDescent="0.45">
      <c r="A11" s="1">
        <v>-1.5</v>
      </c>
      <c r="B11" s="1">
        <v>200</v>
      </c>
      <c r="C11" s="1">
        <v>1660</v>
      </c>
      <c r="D11" s="1">
        <v>8.3000000000000007</v>
      </c>
      <c r="E11" s="1">
        <v>996</v>
      </c>
    </row>
    <row r="12" spans="1:5" x14ac:dyDescent="0.45">
      <c r="A12" s="1">
        <v>-1</v>
      </c>
      <c r="B12" s="1">
        <v>200</v>
      </c>
      <c r="C12" s="1">
        <v>1660</v>
      </c>
      <c r="D12" s="1">
        <v>8.3000000000000007</v>
      </c>
      <c r="E12" s="1">
        <v>996</v>
      </c>
    </row>
    <row r="13" spans="1:5" x14ac:dyDescent="0.45">
      <c r="A13" s="1">
        <v>-0.5</v>
      </c>
      <c r="B13" s="1">
        <v>200</v>
      </c>
      <c r="C13" s="1">
        <v>1640</v>
      </c>
      <c r="D13" s="1">
        <v>8.1999999999999993</v>
      </c>
      <c r="E13" s="1">
        <v>984</v>
      </c>
    </row>
    <row r="14" spans="1:5" x14ac:dyDescent="0.45">
      <c r="A14" s="1">
        <v>0</v>
      </c>
      <c r="B14" s="1">
        <v>200</v>
      </c>
      <c r="C14" s="1">
        <v>1620</v>
      </c>
      <c r="D14" s="1">
        <v>8.1</v>
      </c>
      <c r="E14" s="1">
        <v>972</v>
      </c>
    </row>
    <row r="15" spans="1:5" x14ac:dyDescent="0.45">
      <c r="A15" s="1">
        <v>0.5</v>
      </c>
      <c r="B15" s="1">
        <v>200</v>
      </c>
      <c r="C15" s="1">
        <v>1260</v>
      </c>
      <c r="D15" s="1">
        <v>6.3</v>
      </c>
      <c r="E15" s="1">
        <v>756</v>
      </c>
    </row>
    <row r="16" spans="1:5" x14ac:dyDescent="0.45">
      <c r="A16" s="1">
        <v>1</v>
      </c>
      <c r="B16" s="1">
        <v>200</v>
      </c>
      <c r="C16" s="1">
        <v>740</v>
      </c>
      <c r="D16" s="1">
        <v>3.7</v>
      </c>
      <c r="E16" s="1">
        <v>444</v>
      </c>
    </row>
    <row r="17" spans="1:5" x14ac:dyDescent="0.45">
      <c r="A17" s="1">
        <v>1.5</v>
      </c>
      <c r="B17" s="1">
        <v>200</v>
      </c>
      <c r="C17" s="1">
        <v>732</v>
      </c>
      <c r="D17" s="1">
        <v>3.66</v>
      </c>
      <c r="E17" s="1">
        <v>439.2</v>
      </c>
    </row>
    <row r="18" spans="1:5" x14ac:dyDescent="0.45">
      <c r="A18" s="1">
        <v>2</v>
      </c>
      <c r="B18" s="1">
        <v>200</v>
      </c>
      <c r="C18" s="1">
        <v>560</v>
      </c>
      <c r="D18" s="1">
        <v>2.8</v>
      </c>
      <c r="E18" s="1">
        <v>336</v>
      </c>
    </row>
    <row r="19" spans="1:5" x14ac:dyDescent="0.45">
      <c r="A19" s="1">
        <v>2.5</v>
      </c>
      <c r="B19" s="1">
        <v>200</v>
      </c>
      <c r="C19" s="1">
        <v>516</v>
      </c>
      <c r="D19" s="1">
        <v>2.58</v>
      </c>
      <c r="E19" s="1">
        <v>309.60000000000002</v>
      </c>
    </row>
    <row r="20" spans="1:5" x14ac:dyDescent="0.45">
      <c r="A20" s="1">
        <v>3</v>
      </c>
      <c r="B20" s="1">
        <v>200</v>
      </c>
      <c r="C20" s="1">
        <v>484</v>
      </c>
      <c r="D20" s="1">
        <v>2.42</v>
      </c>
      <c r="E20" s="1">
        <v>290.39999999999998</v>
      </c>
    </row>
    <row r="21" spans="1:5" x14ac:dyDescent="0.45">
      <c r="A21" s="1">
        <v>3.5</v>
      </c>
      <c r="B21" s="1">
        <v>200</v>
      </c>
      <c r="C21" s="1">
        <v>472</v>
      </c>
      <c r="D21" s="1">
        <v>2.36</v>
      </c>
      <c r="E21" s="1">
        <v>283.2</v>
      </c>
    </row>
    <row r="22" spans="1:5" x14ac:dyDescent="0.45">
      <c r="A22" s="1">
        <v>4</v>
      </c>
      <c r="B22" s="1">
        <v>200</v>
      </c>
      <c r="C22" s="1">
        <v>472</v>
      </c>
      <c r="D22" s="1">
        <v>2.36</v>
      </c>
      <c r="E22" s="1">
        <v>283.2</v>
      </c>
    </row>
    <row r="23" spans="1:5" x14ac:dyDescent="0.45">
      <c r="A23" s="1">
        <v>4.5</v>
      </c>
      <c r="B23" s="1">
        <v>200</v>
      </c>
      <c r="C23" s="1">
        <v>468</v>
      </c>
      <c r="D23" s="1">
        <v>2.34</v>
      </c>
      <c r="E23" s="1">
        <v>280.8</v>
      </c>
    </row>
    <row r="24" spans="1:5" x14ac:dyDescent="0.45">
      <c r="A24" s="1">
        <v>5</v>
      </c>
      <c r="B24" s="1">
        <v>200</v>
      </c>
      <c r="C24" s="1">
        <v>468</v>
      </c>
      <c r="D24" s="1">
        <v>2.34</v>
      </c>
      <c r="E24" s="1">
        <v>280.8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NCAP</vt:lpstr>
      <vt:lpstr>PCAP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G</dc:creator>
  <cp:lastModifiedBy>Garima G</cp:lastModifiedBy>
  <dcterms:created xsi:type="dcterms:W3CDTF">2024-10-22T10:49:56Z</dcterms:created>
  <dcterms:modified xsi:type="dcterms:W3CDTF">2024-10-22T10:53:41Z</dcterms:modified>
</cp:coreProperties>
</file>