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esktop\IITB\EE230_236\Lab10_EE236\"/>
    </mc:Choice>
  </mc:AlternateContent>
  <xr:revisionPtr revIDLastSave="0" documentId="13_ncr:1_{D1C61D2A-2668-4F2C-A5B5-90899BA1DF60}" xr6:coauthVersionLast="47" xr6:coauthVersionMax="47" xr10:uidLastSave="{00000000-0000-0000-0000-000000000000}"/>
  <bookViews>
    <workbookView xWindow="-110" yWindow="-110" windowWidth="19420" windowHeight="10420" xr2:uid="{BB6DF74D-BBC9-4AAD-A1EE-856A301E63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F22" i="2" s="1"/>
  <c r="E21" i="2"/>
  <c r="F21" i="2" s="1"/>
  <c r="E20" i="2"/>
  <c r="F20" i="2" s="1"/>
  <c r="E19" i="2"/>
  <c r="F19" i="2" s="1"/>
  <c r="E18" i="2"/>
  <c r="F18" i="2" s="1"/>
  <c r="E17" i="2"/>
  <c r="F17" i="2" s="1"/>
  <c r="F16" i="2"/>
  <c r="E16" i="2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2" i="1"/>
  <c r="F2" i="1" s="1"/>
</calcChain>
</file>

<file path=xl/sharedStrings.xml><?xml version="1.0" encoding="utf-8"?>
<sst xmlns="http://schemas.openxmlformats.org/spreadsheetml/2006/main" count="16" uniqueCount="9">
  <si>
    <t>V_DC</t>
  </si>
  <si>
    <t>V_DUT</t>
  </si>
  <si>
    <t>V_out</t>
  </si>
  <si>
    <t>AC Gain</t>
  </si>
  <si>
    <t>C_DUT</t>
  </si>
  <si>
    <t>Specifications</t>
  </si>
  <si>
    <t>NCAP</t>
  </si>
  <si>
    <t>1mm Square</t>
  </si>
  <si>
    <t>PCAP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</si>
</sst>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C_DUT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Sheet1!$B$2:$B$22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Sheet1!$F$2:$F$22</c:f>
              <c:numCache>
                <c:formatCode>General</c:formatCode>
                <c:ptCount val="21"/>
                <c:pt idx="0">
                  <c:v>1.2811725532148707E-10</c:v>
                </c:pt>
                <c:pt idx="1">
                  <c:v>1.2775670019394068E-10</c:v>
                </c:pt>
                <c:pt idx="2">
                  <c:v>1.2763651515142523E-10</c:v>
                </c:pt>
                <c:pt idx="3">
                  <c:v>1.2751633010890976E-10</c:v>
                </c:pt>
                <c:pt idx="4">
                  <c:v>1.2739614506639431E-10</c:v>
                </c:pt>
                <c:pt idx="5">
                  <c:v>1.2703558993884789E-10</c:v>
                </c:pt>
                <c:pt idx="6">
                  <c:v>1.2691540489633242E-10</c:v>
                </c:pt>
                <c:pt idx="7">
                  <c:v>1.266750348113015E-10</c:v>
                </c:pt>
                <c:pt idx="8">
                  <c:v>1.2739614506639431E-10</c:v>
                </c:pt>
                <c:pt idx="9">
                  <c:v>1.2847781044903349E-10</c:v>
                </c:pt>
                <c:pt idx="10">
                  <c:v>1.3220354676701295E-10</c:v>
                </c:pt>
                <c:pt idx="11">
                  <c:v>1.4049631470058011E-10</c:v>
                </c:pt>
                <c:pt idx="12">
                  <c:v>1.4902945271917825E-10</c:v>
                </c:pt>
                <c:pt idx="13">
                  <c:v>1.6910035481926108E-10</c:v>
                </c:pt>
                <c:pt idx="14">
                  <c:v>2.350819431602521E-10</c:v>
                </c:pt>
                <c:pt idx="15">
                  <c:v>3.6764604505481145E-10</c:v>
                </c:pt>
                <c:pt idx="16">
                  <c:v>4.3627170433114272E-10</c:v>
                </c:pt>
                <c:pt idx="17">
                  <c:v>4.5910686240908128E-10</c:v>
                </c:pt>
                <c:pt idx="18">
                  <c:v>4.7352906751093724E-10</c:v>
                </c:pt>
                <c:pt idx="19">
                  <c:v>4.8518701663493747E-10</c:v>
                </c:pt>
                <c:pt idx="20">
                  <c:v>4.8698979227266941E-10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B-4C32-80B9-EAA7817F5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054192"/>
        <c:axId val="1404058032"/>
      </c:scatterChart>
      <c:valAx>
        <c:axId val="140405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58032"/>
        <c:crosses val="autoZero"/>
        <c:crossBetween val="midCat"/>
      </c:valAx>
      <c:valAx>
        <c:axId val="140405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5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C_DUT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Sheet2!$B$2:$B$22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Sheet2!$F$2:$F$22</c:f>
              <c:numCache>
                <c:formatCode>General</c:formatCode>
                <c:ptCount val="21"/>
                <c:pt idx="0">
                  <c:v>5.0033033199188627E-10</c:v>
                </c:pt>
                <c:pt idx="1">
                  <c:v>5.0021014694937084E-10</c:v>
                </c:pt>
                <c:pt idx="2">
                  <c:v>4.9960922173679353E-10</c:v>
                </c:pt>
                <c:pt idx="3">
                  <c:v>4.9275867431341182E-10</c:v>
                </c:pt>
                <c:pt idx="4">
                  <c:v>4.9191737901580366E-10</c:v>
                </c:pt>
                <c:pt idx="5">
                  <c:v>4.9131645380322634E-10</c:v>
                </c:pt>
                <c:pt idx="6">
                  <c:v>4.9095589867567998E-10</c:v>
                </c:pt>
                <c:pt idx="7">
                  <c:v>4.895136781654943E-10</c:v>
                </c:pt>
                <c:pt idx="8">
                  <c:v>4.7208684700075167E-10</c:v>
                </c:pt>
                <c:pt idx="9">
                  <c:v>4.6151056325939064E-10</c:v>
                </c:pt>
                <c:pt idx="10">
                  <c:v>4.3242578297064783E-10</c:v>
                </c:pt>
                <c:pt idx="11">
                  <c:v>3.4589255235951209E-10</c:v>
                </c:pt>
                <c:pt idx="12">
                  <c:v>1.5455796467488968E-10</c:v>
                </c:pt>
                <c:pt idx="13">
                  <c:v>1.0519796771378765E-10</c:v>
                </c:pt>
                <c:pt idx="14">
                  <c:v>8.7470673942756385E-11</c:v>
                </c:pt>
                <c:pt idx="15">
                  <c:v>8.7013970781197626E-11</c:v>
                </c:pt>
                <c:pt idx="16">
                  <c:v>8.6977915268442971E-11</c:v>
                </c:pt>
                <c:pt idx="17">
                  <c:v>8.6965896764191436E-11</c:v>
                </c:pt>
                <c:pt idx="18">
                  <c:v>8.6941859755688342E-11</c:v>
                </c:pt>
                <c:pt idx="19">
                  <c:v>8.7086081806706871E-11</c:v>
                </c:pt>
                <c:pt idx="20">
                  <c:v>8.7134155823713073E-11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5-4A7B-9D92-DBE886740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362880"/>
        <c:axId val="1413350880"/>
      </c:scatterChart>
      <c:valAx>
        <c:axId val="14133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50880"/>
        <c:crosses val="autoZero"/>
        <c:crossBetween val="midCat"/>
      </c:valAx>
      <c:valAx>
        <c:axId val="14133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6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92075</xdr:colOff>
      <xdr:row>2</xdr:row>
      <xdr:rowOff>57150</xdr:rowOff>
    </xdr:from>
    <xdr:to>
      <xdr:col>15</xdr:col>
      <xdr:colOff>396875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A95B1-7290-6AC0-100D-D402D897F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473075</xdr:colOff>
      <xdr:row>1</xdr:row>
      <xdr:rowOff>158750</xdr:rowOff>
    </xdr:from>
    <xdr:to>
      <xdr:col>15</xdr:col>
      <xdr:colOff>168275</xdr:colOff>
      <xdr:row>16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BEB0A-EE6F-0119-C996-C11A57D0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DF0A-74AA-4D27-B000-9FB24DEB79E2}">
  <dimension ref="A1:H22"/>
  <sheetViews>
    <sheetView tabSelected="1" workbookViewId="0">
      <selection activeCell="H16" sqref="H16"/>
    </sheetView>
  </sheetViews>
  <sheetFormatPr defaultRowHeight="14.5" x14ac:dyDescent="0.35"/>
  <cols>
    <col min="1" max="1" width="22.81640625" customWidth="1"/>
  </cols>
  <sheetData>
    <row r="1" spans="1:8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5">
      <c r="A2" t="s">
        <v>6</v>
      </c>
      <c r="B2">
        <v>-5</v>
      </c>
      <c r="C2">
        <v>100</v>
      </c>
      <c r="D2">
        <v>106.6</v>
      </c>
      <c r="E2">
        <f>D2/C2</f>
        <v>1.0659999999999998</v>
      </c>
      <c r="F2">
        <f>E2*(0.0000000001)*SQRT(1+(1/(100000*0.000015)^2))</f>
        <v>1.2811725532148707E-10</v>
      </c>
      <c r="H2" s="1"/>
    </row>
    <row r="3" spans="1:8" x14ac:dyDescent="0.35">
      <c r="A3" t="s">
        <v>7</v>
      </c>
      <c r="B3">
        <v>-4.5</v>
      </c>
      <c r="C3">
        <v>100</v>
      </c>
      <c r="D3">
        <v>106.3</v>
      </c>
      <c r="E3">
        <f t="shared" ref="E3:E22" si="0">D3/C3</f>
        <v>1.0629999999999999</v>
      </c>
      <c r="F3">
        <f t="shared" ref="F3:F22" si="1">E3*(0.0000000001)*SQRT(1+(1/(100000*0.000015)^2))</f>
        <v>1.2775670019394068E-10</v>
      </c>
    </row>
    <row r="4" spans="1:8" x14ac:dyDescent="0.35">
      <c r="B4">
        <v>-4</v>
      </c>
      <c r="C4">
        <v>100</v>
      </c>
      <c r="D4">
        <v>106.2</v>
      </c>
      <c r="E4">
        <f t="shared" si="0"/>
        <v>1.0620000000000001</v>
      </c>
      <c r="F4">
        <f t="shared" si="1"/>
        <v>1.2763651515142523E-10</v>
      </c>
    </row>
    <row r="5" spans="1:8" x14ac:dyDescent="0.35">
      <c r="B5">
        <v>-3.5</v>
      </c>
      <c r="C5">
        <v>100</v>
      </c>
      <c r="D5">
        <v>106.1</v>
      </c>
      <c r="E5">
        <f t="shared" si="0"/>
        <v>1.0609999999999999</v>
      </c>
      <c r="F5">
        <f t="shared" si="1"/>
        <v>1.2751633010890976E-10</v>
      </c>
    </row>
    <row r="6" spans="1:8" x14ac:dyDescent="0.35">
      <c r="B6">
        <v>-3</v>
      </c>
      <c r="C6">
        <v>100</v>
      </c>
      <c r="D6">
        <v>106</v>
      </c>
      <c r="E6">
        <f t="shared" si="0"/>
        <v>1.06</v>
      </c>
      <c r="F6">
        <f t="shared" si="1"/>
        <v>1.2739614506639431E-10</v>
      </c>
    </row>
    <row r="7" spans="1:8" x14ac:dyDescent="0.35">
      <c r="B7">
        <v>-2.5</v>
      </c>
      <c r="C7">
        <v>100</v>
      </c>
      <c r="D7">
        <v>105.7</v>
      </c>
      <c r="E7">
        <f t="shared" si="0"/>
        <v>1.0569999999999999</v>
      </c>
      <c r="F7">
        <f t="shared" si="1"/>
        <v>1.2703558993884789E-10</v>
      </c>
    </row>
    <row r="8" spans="1:8" x14ac:dyDescent="0.35">
      <c r="B8">
        <v>-2</v>
      </c>
      <c r="C8">
        <v>100</v>
      </c>
      <c r="D8">
        <v>105.6</v>
      </c>
      <c r="E8">
        <f t="shared" si="0"/>
        <v>1.056</v>
      </c>
      <c r="F8">
        <f t="shared" si="1"/>
        <v>1.2691540489633242E-10</v>
      </c>
    </row>
    <row r="9" spans="1:8" x14ac:dyDescent="0.35">
      <c r="B9">
        <v>-1.5</v>
      </c>
      <c r="C9">
        <v>100</v>
      </c>
      <c r="D9">
        <v>105.4</v>
      </c>
      <c r="E9">
        <f t="shared" si="0"/>
        <v>1.054</v>
      </c>
      <c r="F9">
        <f t="shared" si="1"/>
        <v>1.266750348113015E-10</v>
      </c>
    </row>
    <row r="10" spans="1:8" x14ac:dyDescent="0.35">
      <c r="B10">
        <v>-1</v>
      </c>
      <c r="C10">
        <v>100</v>
      </c>
      <c r="D10">
        <v>106</v>
      </c>
      <c r="E10">
        <f t="shared" si="0"/>
        <v>1.06</v>
      </c>
      <c r="F10">
        <f t="shared" si="1"/>
        <v>1.2739614506639431E-10</v>
      </c>
    </row>
    <row r="11" spans="1:8" x14ac:dyDescent="0.35">
      <c r="B11">
        <v>-0.5</v>
      </c>
      <c r="C11">
        <v>100</v>
      </c>
      <c r="D11">
        <v>106.9</v>
      </c>
      <c r="E11">
        <f t="shared" si="0"/>
        <v>1.069</v>
      </c>
      <c r="F11">
        <f t="shared" si="1"/>
        <v>1.2847781044903349E-10</v>
      </c>
    </row>
    <row r="12" spans="1:8" x14ac:dyDescent="0.35">
      <c r="B12">
        <v>0</v>
      </c>
      <c r="C12">
        <v>100</v>
      </c>
      <c r="D12">
        <v>110</v>
      </c>
      <c r="E12">
        <f t="shared" si="0"/>
        <v>1.1000000000000001</v>
      </c>
      <c r="F12">
        <f t="shared" si="1"/>
        <v>1.3220354676701295E-10</v>
      </c>
    </row>
    <row r="13" spans="1:8" x14ac:dyDescent="0.35">
      <c r="B13">
        <v>0.5</v>
      </c>
      <c r="C13">
        <v>100</v>
      </c>
      <c r="D13">
        <v>116.9</v>
      </c>
      <c r="E13">
        <f t="shared" si="0"/>
        <v>1.169</v>
      </c>
      <c r="F13">
        <f t="shared" si="1"/>
        <v>1.4049631470058011E-10</v>
      </c>
    </row>
    <row r="14" spans="1:8" x14ac:dyDescent="0.35">
      <c r="B14">
        <v>1</v>
      </c>
      <c r="C14">
        <v>100</v>
      </c>
      <c r="D14">
        <v>124</v>
      </c>
      <c r="E14">
        <f t="shared" si="0"/>
        <v>1.24</v>
      </c>
      <c r="F14">
        <f t="shared" si="1"/>
        <v>1.4902945271917825E-10</v>
      </c>
    </row>
    <row r="15" spans="1:8" x14ac:dyDescent="0.35">
      <c r="B15">
        <v>1.5</v>
      </c>
      <c r="C15">
        <v>100</v>
      </c>
      <c r="D15">
        <v>140.69999999999999</v>
      </c>
      <c r="E15">
        <f t="shared" si="0"/>
        <v>1.4069999999999998</v>
      </c>
      <c r="F15">
        <f t="shared" si="1"/>
        <v>1.6910035481926108E-10</v>
      </c>
    </row>
    <row r="16" spans="1:8" x14ac:dyDescent="0.35">
      <c r="B16">
        <v>2</v>
      </c>
      <c r="C16">
        <v>100</v>
      </c>
      <c r="D16">
        <v>195.6</v>
      </c>
      <c r="E16">
        <f t="shared" si="0"/>
        <v>1.956</v>
      </c>
      <c r="F16">
        <f t="shared" si="1"/>
        <v>2.350819431602521E-10</v>
      </c>
    </row>
    <row r="17" spans="2:6" x14ac:dyDescent="0.35">
      <c r="B17">
        <v>2.5</v>
      </c>
      <c r="C17">
        <v>100</v>
      </c>
      <c r="D17">
        <v>305.89999999999998</v>
      </c>
      <c r="E17">
        <f t="shared" si="0"/>
        <v>3.0589999999999997</v>
      </c>
      <c r="F17">
        <f t="shared" si="1"/>
        <v>3.6764604505481145E-10</v>
      </c>
    </row>
    <row r="18" spans="2:6" x14ac:dyDescent="0.35">
      <c r="B18">
        <v>3</v>
      </c>
      <c r="C18">
        <v>100</v>
      </c>
      <c r="D18">
        <v>363</v>
      </c>
      <c r="E18">
        <f t="shared" si="0"/>
        <v>3.63</v>
      </c>
      <c r="F18">
        <f t="shared" si="1"/>
        <v>4.3627170433114272E-10</v>
      </c>
    </row>
    <row r="19" spans="2:6" x14ac:dyDescent="0.35">
      <c r="B19">
        <v>3.5</v>
      </c>
      <c r="C19">
        <v>100</v>
      </c>
      <c r="D19">
        <v>382</v>
      </c>
      <c r="E19">
        <f t="shared" si="0"/>
        <v>3.82</v>
      </c>
      <c r="F19">
        <f t="shared" si="1"/>
        <v>4.5910686240908128E-10</v>
      </c>
    </row>
    <row r="20" spans="2:6" x14ac:dyDescent="0.35">
      <c r="B20">
        <v>4</v>
      </c>
      <c r="C20">
        <v>100</v>
      </c>
      <c r="D20">
        <v>394</v>
      </c>
      <c r="E20">
        <f t="shared" si="0"/>
        <v>3.94</v>
      </c>
      <c r="F20">
        <f t="shared" si="1"/>
        <v>4.7352906751093724E-10</v>
      </c>
    </row>
    <row r="21" spans="2:6" x14ac:dyDescent="0.35">
      <c r="B21">
        <v>4.5</v>
      </c>
      <c r="C21">
        <v>100</v>
      </c>
      <c r="D21">
        <v>403.7</v>
      </c>
      <c r="E21">
        <f t="shared" si="0"/>
        <v>4.0369999999999999</v>
      </c>
      <c r="F21">
        <f t="shared" si="1"/>
        <v>4.8518701663493747E-10</v>
      </c>
    </row>
    <row r="22" spans="2:6" x14ac:dyDescent="0.35">
      <c r="B22">
        <v>5</v>
      </c>
      <c r="C22">
        <v>100</v>
      </c>
      <c r="D22">
        <v>405.2</v>
      </c>
      <c r="E22">
        <f t="shared" si="0"/>
        <v>4.0519999999999996</v>
      </c>
      <c r="F22">
        <f t="shared" si="1"/>
        <v>4.8698979227266941E-10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6497-9404-447E-B0C6-96116DC8F018}">
  <dimension ref="A1:F22"/>
  <sheetViews>
    <sheetView workbookViewId="0">
      <selection activeCell="A14" sqref="A14"/>
    </sheetView>
  </sheetViews>
  <sheetFormatPr defaultRowHeight="14.5" x14ac:dyDescent="0.35"/>
  <cols>
    <col min="1" max="1" width="24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8</v>
      </c>
      <c r="B2">
        <v>-5</v>
      </c>
      <c r="C2">
        <v>100</v>
      </c>
      <c r="D2">
        <v>416.3</v>
      </c>
      <c r="E2">
        <f>D2/C2</f>
        <v>4.1630000000000003</v>
      </c>
      <c r="F2">
        <f>E2*(0.0000000001)*SQRT(1+(1/(100000*0.000015)^2))</f>
        <v>5.0033033199188627E-10</v>
      </c>
    </row>
    <row r="3" spans="1:6" x14ac:dyDescent="0.35">
      <c r="A3" t="s">
        <v>7</v>
      </c>
      <c r="B3">
        <v>-4.5</v>
      </c>
      <c r="C3">
        <v>100</v>
      </c>
      <c r="D3">
        <v>416.2</v>
      </c>
      <c r="E3">
        <f t="shared" ref="E3:E22" si="0">D3/C3</f>
        <v>4.1619999999999999</v>
      </c>
      <c r="F3">
        <f t="shared" ref="F3:F22" si="1">E3*(0.0000000001)*SQRT(1+(1/(100000*0.000015)^2))</f>
        <v>5.0021014694937084E-10</v>
      </c>
    </row>
    <row r="4" spans="1:6" x14ac:dyDescent="0.35">
      <c r="B4">
        <v>-4</v>
      </c>
      <c r="C4">
        <v>100</v>
      </c>
      <c r="D4">
        <v>415.7</v>
      </c>
      <c r="E4">
        <f t="shared" si="0"/>
        <v>4.157</v>
      </c>
      <c r="F4">
        <f t="shared" si="1"/>
        <v>4.9960922173679353E-10</v>
      </c>
    </row>
    <row r="5" spans="1:6" x14ac:dyDescent="0.35">
      <c r="B5">
        <v>-3.5</v>
      </c>
      <c r="C5">
        <v>100</v>
      </c>
      <c r="D5">
        <v>410</v>
      </c>
      <c r="E5">
        <f t="shared" si="0"/>
        <v>4.0999999999999996</v>
      </c>
      <c r="F5">
        <f t="shared" si="1"/>
        <v>4.9275867431341182E-10</v>
      </c>
    </row>
    <row r="6" spans="1:6" x14ac:dyDescent="0.35">
      <c r="B6">
        <v>-3</v>
      </c>
      <c r="C6">
        <v>100</v>
      </c>
      <c r="D6">
        <v>409.3</v>
      </c>
      <c r="E6">
        <f t="shared" si="0"/>
        <v>4.093</v>
      </c>
      <c r="F6">
        <f t="shared" si="1"/>
        <v>4.9191737901580366E-10</v>
      </c>
    </row>
    <row r="7" spans="1:6" x14ac:dyDescent="0.35">
      <c r="B7">
        <v>-2.5</v>
      </c>
      <c r="C7">
        <v>100</v>
      </c>
      <c r="D7">
        <v>408.8</v>
      </c>
      <c r="E7">
        <f t="shared" si="0"/>
        <v>4.0880000000000001</v>
      </c>
      <c r="F7">
        <f t="shared" si="1"/>
        <v>4.9131645380322634E-10</v>
      </c>
    </row>
    <row r="8" spans="1:6" x14ac:dyDescent="0.35">
      <c r="B8">
        <v>-2</v>
      </c>
      <c r="C8">
        <v>100</v>
      </c>
      <c r="D8">
        <v>408.5</v>
      </c>
      <c r="E8">
        <f t="shared" si="0"/>
        <v>4.085</v>
      </c>
      <c r="F8">
        <f t="shared" si="1"/>
        <v>4.9095589867567998E-10</v>
      </c>
    </row>
    <row r="9" spans="1:6" x14ac:dyDescent="0.35">
      <c r="B9">
        <v>-1.5</v>
      </c>
      <c r="C9">
        <v>100</v>
      </c>
      <c r="D9">
        <v>407.3</v>
      </c>
      <c r="E9">
        <f t="shared" si="0"/>
        <v>4.0730000000000004</v>
      </c>
      <c r="F9">
        <f t="shared" si="1"/>
        <v>4.895136781654943E-10</v>
      </c>
    </row>
    <row r="10" spans="1:6" x14ac:dyDescent="0.35">
      <c r="B10">
        <v>-1</v>
      </c>
      <c r="C10">
        <v>100</v>
      </c>
      <c r="D10">
        <v>392.8</v>
      </c>
      <c r="E10">
        <f t="shared" si="0"/>
        <v>3.9279999999999999</v>
      </c>
      <c r="F10">
        <f t="shared" si="1"/>
        <v>4.7208684700075167E-10</v>
      </c>
    </row>
    <row r="11" spans="1:6" x14ac:dyDescent="0.35">
      <c r="B11">
        <v>-0.5</v>
      </c>
      <c r="C11">
        <v>100</v>
      </c>
      <c r="D11">
        <v>384</v>
      </c>
      <c r="E11">
        <f t="shared" si="0"/>
        <v>3.84</v>
      </c>
      <c r="F11">
        <f t="shared" si="1"/>
        <v>4.6151056325939064E-10</v>
      </c>
    </row>
    <row r="12" spans="1:6" x14ac:dyDescent="0.35">
      <c r="B12">
        <v>0</v>
      </c>
      <c r="C12">
        <v>100</v>
      </c>
      <c r="D12">
        <v>359.8</v>
      </c>
      <c r="E12">
        <f t="shared" si="0"/>
        <v>3.5980000000000003</v>
      </c>
      <c r="F12">
        <f t="shared" si="1"/>
        <v>4.3242578297064783E-10</v>
      </c>
    </row>
    <row r="13" spans="1:6" x14ac:dyDescent="0.35">
      <c r="B13">
        <v>0.5</v>
      </c>
      <c r="C13">
        <v>100</v>
      </c>
      <c r="D13">
        <v>287.8</v>
      </c>
      <c r="E13">
        <f t="shared" si="0"/>
        <v>2.8780000000000001</v>
      </c>
      <c r="F13">
        <f t="shared" si="1"/>
        <v>3.4589255235951209E-10</v>
      </c>
    </row>
    <row r="14" spans="1:6" x14ac:dyDescent="0.35">
      <c r="B14">
        <v>1</v>
      </c>
      <c r="C14">
        <v>100</v>
      </c>
      <c r="D14">
        <v>128.6</v>
      </c>
      <c r="E14">
        <f t="shared" si="0"/>
        <v>1.286</v>
      </c>
      <c r="F14">
        <f t="shared" si="1"/>
        <v>1.5455796467488968E-10</v>
      </c>
    </row>
    <row r="15" spans="1:6" x14ac:dyDescent="0.35">
      <c r="B15">
        <v>1.5</v>
      </c>
      <c r="C15">
        <v>100</v>
      </c>
      <c r="D15">
        <v>87.53</v>
      </c>
      <c r="E15">
        <f t="shared" si="0"/>
        <v>0.87529999999999997</v>
      </c>
      <c r="F15">
        <f t="shared" si="1"/>
        <v>1.0519796771378765E-10</v>
      </c>
    </row>
    <row r="16" spans="1:6" x14ac:dyDescent="0.35">
      <c r="B16">
        <v>2</v>
      </c>
      <c r="C16">
        <v>100</v>
      </c>
      <c r="D16">
        <v>72.78</v>
      </c>
      <c r="E16">
        <f t="shared" si="0"/>
        <v>0.7278</v>
      </c>
      <c r="F16">
        <f t="shared" si="1"/>
        <v>8.7470673942756385E-11</v>
      </c>
    </row>
    <row r="17" spans="2:6" x14ac:dyDescent="0.35">
      <c r="B17">
        <v>2.5</v>
      </c>
      <c r="C17">
        <v>100</v>
      </c>
      <c r="D17">
        <v>72.400000000000006</v>
      </c>
      <c r="E17">
        <f t="shared" si="0"/>
        <v>0.72400000000000009</v>
      </c>
      <c r="F17">
        <f t="shared" si="1"/>
        <v>8.7013970781197626E-11</v>
      </c>
    </row>
    <row r="18" spans="2:6" x14ac:dyDescent="0.35">
      <c r="B18">
        <v>3</v>
      </c>
      <c r="C18">
        <v>100</v>
      </c>
      <c r="D18">
        <v>72.37</v>
      </c>
      <c r="E18">
        <f t="shared" si="0"/>
        <v>0.72370000000000001</v>
      </c>
      <c r="F18">
        <f t="shared" si="1"/>
        <v>8.6977915268442971E-11</v>
      </c>
    </row>
    <row r="19" spans="2:6" x14ac:dyDescent="0.35">
      <c r="B19">
        <v>3.5</v>
      </c>
      <c r="C19">
        <v>100</v>
      </c>
      <c r="D19">
        <v>72.36</v>
      </c>
      <c r="E19">
        <f t="shared" si="0"/>
        <v>0.72360000000000002</v>
      </c>
      <c r="F19">
        <f t="shared" si="1"/>
        <v>8.6965896764191436E-11</v>
      </c>
    </row>
    <row r="20" spans="2:6" x14ac:dyDescent="0.35">
      <c r="B20">
        <v>4</v>
      </c>
      <c r="C20">
        <v>100</v>
      </c>
      <c r="D20">
        <v>72.34</v>
      </c>
      <c r="E20">
        <f t="shared" si="0"/>
        <v>0.72340000000000004</v>
      </c>
      <c r="F20">
        <f t="shared" si="1"/>
        <v>8.6941859755688342E-11</v>
      </c>
    </row>
    <row r="21" spans="2:6" x14ac:dyDescent="0.35">
      <c r="B21">
        <v>4.5</v>
      </c>
      <c r="C21">
        <v>100</v>
      </c>
      <c r="D21">
        <v>72.459999999999994</v>
      </c>
      <c r="E21">
        <f t="shared" si="0"/>
        <v>0.72459999999999991</v>
      </c>
      <c r="F21">
        <f t="shared" si="1"/>
        <v>8.7086081806706871E-11</v>
      </c>
    </row>
    <row r="22" spans="2:6" x14ac:dyDescent="0.35">
      <c r="B22">
        <v>5</v>
      </c>
      <c r="C22">
        <v>100</v>
      </c>
      <c r="D22">
        <v>72.5</v>
      </c>
      <c r="E22">
        <f t="shared" si="0"/>
        <v>0.72499999999999998</v>
      </c>
      <c r="F22">
        <f t="shared" si="1"/>
        <v>8.7134155823713073E-11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Singla</dc:creator>
  <cp:lastModifiedBy>Harshil Singla</cp:lastModifiedBy>
  <dcterms:created xsi:type="dcterms:W3CDTF">2024-10-14T08:57:26Z</dcterms:created>
  <dcterms:modified xsi:type="dcterms:W3CDTF">2024-10-14T10:45:28Z</dcterms:modified>
</cp:coreProperties>
</file>