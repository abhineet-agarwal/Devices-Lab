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B\Sem5\Devices lab\Lab12\"/>
    </mc:Choice>
  </mc:AlternateContent>
  <xr:revisionPtr revIDLastSave="0" documentId="8_{FF200627-C812-47D3-9BDC-ABD54E0BA48E}" xr6:coauthVersionLast="47" xr6:coauthVersionMax="47" xr10:uidLastSave="{00000000-0000-0000-0000-000000000000}"/>
  <bookViews>
    <workbookView xWindow="-98" yWindow="-98" windowWidth="21795" windowHeight="12975" xr2:uid="{7AEC1E4B-7C48-47D5-91E7-1474903575EF}"/>
  </bookViews>
  <sheets>
    <sheet name="par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F10" i="1" s="1"/>
  <c r="E2" i="1"/>
  <c r="C17" i="1"/>
  <c r="C18" i="1"/>
  <c r="C19" i="1"/>
  <c r="C20" i="1"/>
  <c r="C21" i="1"/>
  <c r="C22" i="1"/>
  <c r="C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<sst xmlns="http://schemas.openxmlformats.org/spreadsheetml/2006/main" count="10" uniqueCount="10">
  <si>
    <t>Vgs</t>
  </si>
  <si>
    <t>Vout</t>
  </si>
  <si>
    <t>Id(nA)</t>
  </si>
  <si>
    <t>Vout(R=1M)</t>
  </si>
  <si>
    <t>log Id</t>
  </si>
  <si>
    <t xml:space="preserve">part a </t>
  </si>
  <si>
    <t>end values</t>
  </si>
  <si>
    <t>vgs</t>
  </si>
  <si>
    <t>part b</t>
  </si>
  <si>
    <t>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</si>
</sst>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part1!$C$1</c:f>
              <c:strCache>
                <c:ptCount val="1"/>
                <c:pt idx="0">
                  <c:v>Id(nA)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part1!$A$2:$A$23</c:f>
              <c:numCache>
                <c:formatCode>General</c:formatCode>
                <c:ptCount val="22"/>
                <c:pt idx="0">
                  <c:v>0.15</c:v>
                </c:pt>
                <c:pt idx="1">
                  <c:v>0.25</c:v>
                </c:pt>
                <c:pt idx="2">
                  <c:v>0.3</c:v>
                </c:pt>
                <c:pt idx="3">
                  <c:v>0.32</c:v>
                </c:pt>
                <c:pt idx="4">
                  <c:v>0.34</c:v>
                </c:pt>
                <c:pt idx="5">
                  <c:v>0.36</c:v>
                </c:pt>
                <c:pt idx="6">
                  <c:v>0.38</c:v>
                </c:pt>
                <c:pt idx="7">
                  <c:v>0.4</c:v>
                </c:pt>
                <c:pt idx="8">
                  <c:v>0.42</c:v>
                </c:pt>
                <c:pt idx="9">
                  <c:v>0.44</c:v>
                </c:pt>
                <c:pt idx="10">
                  <c:v>0.46</c:v>
                </c:pt>
                <c:pt idx="11">
                  <c:v>0.48</c:v>
                </c:pt>
                <c:pt idx="12">
                  <c:v>0.5</c:v>
                </c:pt>
                <c:pt idx="13">
                  <c:v>0.52</c:v>
                </c:pt>
                <c:pt idx="14">
                  <c:v>0.54</c:v>
                </c:pt>
                <c:pt idx="15">
                  <c:v>0.56000000000000005</c:v>
                </c:pt>
                <c:pt idx="16">
                  <c:v>0.57999999999999996</c:v>
                </c:pt>
                <c:pt idx="17">
                  <c:v>0.6</c:v>
                </c:pt>
                <c:pt idx="18">
                  <c:v>0.62</c:v>
                </c:pt>
                <c:pt idx="19">
                  <c:v>0.64</c:v>
                </c:pt>
                <c:pt idx="20">
                  <c:v>0.66</c:v>
                </c:pt>
                <c:pt idx="21">
                  <c:v>0.68</c:v>
                </c:pt>
              </c:numCache>
            </c:numRef>
          </c:xVal>
          <c:yVal>
            <c:numRef>
              <c:f>part1!$C$2:$C$23</c:f>
              <c:numCache>
                <c:formatCode>General</c:formatCode>
                <c:ptCount val="22"/>
                <c:pt idx="0">
                  <c:v>-12.000000000000011</c:v>
                </c:pt>
                <c:pt idx="1">
                  <c:v>-11.000000000000011</c:v>
                </c:pt>
                <c:pt idx="2">
                  <c:v>-10.000000000000009</c:v>
                </c:pt>
                <c:pt idx="3">
                  <c:v>-9.0000000000000089</c:v>
                </c:pt>
                <c:pt idx="4">
                  <c:v>-8.0000000000000071</c:v>
                </c:pt>
                <c:pt idx="5">
                  <c:v>-6.0000000000000053</c:v>
                </c:pt>
                <c:pt idx="6">
                  <c:v>-2.0000000000000018</c:v>
                </c:pt>
                <c:pt idx="7">
                  <c:v>4.0000000000000036</c:v>
                </c:pt>
                <c:pt idx="8">
                  <c:v>12.999999999999989</c:v>
                </c:pt>
                <c:pt idx="9">
                  <c:v>25.999999999999979</c:v>
                </c:pt>
                <c:pt idx="10">
                  <c:v>47.000000000000014</c:v>
                </c:pt>
                <c:pt idx="11">
                  <c:v>77</c:v>
                </c:pt>
                <c:pt idx="12">
                  <c:v>110.99999999999997</c:v>
                </c:pt>
                <c:pt idx="13">
                  <c:v>146</c:v>
                </c:pt>
                <c:pt idx="14">
                  <c:v>220.0000000000002</c:v>
                </c:pt>
                <c:pt idx="15">
                  <c:v>370.00000000000011</c:v>
                </c:pt>
                <c:pt idx="16">
                  <c:v>500</c:v>
                </c:pt>
                <c:pt idx="17">
                  <c:v>620.00000000000011</c:v>
                </c:pt>
                <c:pt idx="18">
                  <c:v>720.00000000000023</c:v>
                </c:pt>
                <c:pt idx="19">
                  <c:v>580.00000000000011</c:v>
                </c:pt>
                <c:pt idx="20">
                  <c:v>500</c:v>
                </c:pt>
                <c:pt idx="21">
                  <c:v>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C0-444A-8C4F-83E79FDA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639263"/>
        <c:axId val="1002636863"/>
      </c:scatterChart>
      <c:valAx>
        <c:axId val="100263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36863"/>
        <c:crosses val="autoZero"/>
        <c:crossBetween val="midCat"/>
      </c:valAx>
      <c:valAx>
        <c:axId val="10026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3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log id vs vgs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part1!$A$9:$A$23</c:f>
              <c:numCache>
                <c:formatCode>General</c:formatCode>
                <c:ptCount val="15"/>
                <c:pt idx="0">
                  <c:v>0.4</c:v>
                </c:pt>
                <c:pt idx="1">
                  <c:v>0.42</c:v>
                </c:pt>
                <c:pt idx="2">
                  <c:v>0.44</c:v>
                </c:pt>
                <c:pt idx="3">
                  <c:v>0.46</c:v>
                </c:pt>
                <c:pt idx="4">
                  <c:v>0.48</c:v>
                </c:pt>
                <c:pt idx="5">
                  <c:v>0.5</c:v>
                </c:pt>
                <c:pt idx="6">
                  <c:v>0.52</c:v>
                </c:pt>
                <c:pt idx="7">
                  <c:v>0.54</c:v>
                </c:pt>
                <c:pt idx="8">
                  <c:v>0.56000000000000005</c:v>
                </c:pt>
                <c:pt idx="9">
                  <c:v>0.57999999999999996</c:v>
                </c:pt>
                <c:pt idx="10">
                  <c:v>0.6</c:v>
                </c:pt>
                <c:pt idx="11">
                  <c:v>0.62</c:v>
                </c:pt>
                <c:pt idx="12">
                  <c:v>0.64</c:v>
                </c:pt>
                <c:pt idx="13">
                  <c:v>0.66</c:v>
                </c:pt>
                <c:pt idx="14">
                  <c:v>0.68</c:v>
                </c:pt>
              </c:numCache>
            </c:numRef>
          </c:xVal>
          <c:yVal>
            <c:numRef>
              <c:f>part1!$E$9:$E$23</c:f>
              <c:numCache>
                <c:formatCode>General</c:formatCode>
                <c:ptCount val="15"/>
                <c:pt idx="0">
                  <c:v>0.60205999132796273</c:v>
                </c:pt>
                <c:pt idx="1">
                  <c:v>1.1139433523068365</c:v>
                </c:pt>
                <c:pt idx="2">
                  <c:v>1.4149733479708175</c:v>
                </c:pt>
                <c:pt idx="3">
                  <c:v>1.6720978579357175</c:v>
                </c:pt>
                <c:pt idx="4">
                  <c:v>1.8864907251724818</c:v>
                </c:pt>
                <c:pt idx="5">
                  <c:v>2.0453229787866571</c:v>
                </c:pt>
                <c:pt idx="6">
                  <c:v>2.1643528557844371</c:v>
                </c:pt>
                <c:pt idx="7">
                  <c:v>2.3424226808222066</c:v>
                </c:pt>
                <c:pt idx="8">
                  <c:v>2.568201724066995</c:v>
                </c:pt>
                <c:pt idx="9">
                  <c:v>2.6989700043360187</c:v>
                </c:pt>
                <c:pt idx="10">
                  <c:v>2.7923916894982539</c:v>
                </c:pt>
                <c:pt idx="11">
                  <c:v>2.8573324964312685</c:v>
                </c:pt>
                <c:pt idx="12">
                  <c:v>2.7634279935629373</c:v>
                </c:pt>
                <c:pt idx="13">
                  <c:v>2.6989700043360187</c:v>
                </c:pt>
                <c:pt idx="14">
                  <c:v>2.7558748556724915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E0-467A-8B98-475D47AE6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647423"/>
        <c:axId val="1002650303"/>
      </c:scatterChart>
      <c:valAx>
        <c:axId val="100264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50303"/>
        <c:crosses val="autoZero"/>
        <c:crossBetween val="midCat"/>
      </c:valAx>
      <c:valAx>
        <c:axId val="100265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4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part1!$C$1</c:f>
              <c:strCache>
                <c:ptCount val="1"/>
                <c:pt idx="0">
                  <c:v>Id(nA)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part1!$A$2:$A$45</c:f>
              <c:numCache>
                <c:formatCode>General</c:formatCode>
                <c:ptCount val="44"/>
                <c:pt idx="0">
                  <c:v>0.15</c:v>
                </c:pt>
                <c:pt idx="1">
                  <c:v>0.25</c:v>
                </c:pt>
                <c:pt idx="2">
                  <c:v>0.3</c:v>
                </c:pt>
                <c:pt idx="3">
                  <c:v>0.32</c:v>
                </c:pt>
                <c:pt idx="4">
                  <c:v>0.34</c:v>
                </c:pt>
                <c:pt idx="5">
                  <c:v>0.36</c:v>
                </c:pt>
                <c:pt idx="6">
                  <c:v>0.38</c:v>
                </c:pt>
                <c:pt idx="7">
                  <c:v>0.4</c:v>
                </c:pt>
                <c:pt idx="8">
                  <c:v>0.42</c:v>
                </c:pt>
                <c:pt idx="9">
                  <c:v>0.44</c:v>
                </c:pt>
                <c:pt idx="10">
                  <c:v>0.46</c:v>
                </c:pt>
                <c:pt idx="11">
                  <c:v>0.48</c:v>
                </c:pt>
                <c:pt idx="12">
                  <c:v>0.5</c:v>
                </c:pt>
                <c:pt idx="13">
                  <c:v>0.52</c:v>
                </c:pt>
                <c:pt idx="14">
                  <c:v>0.54</c:v>
                </c:pt>
                <c:pt idx="15">
                  <c:v>0.56000000000000005</c:v>
                </c:pt>
                <c:pt idx="16">
                  <c:v>0.57999999999999996</c:v>
                </c:pt>
                <c:pt idx="17">
                  <c:v>0.6</c:v>
                </c:pt>
                <c:pt idx="18">
                  <c:v>0.62</c:v>
                </c:pt>
                <c:pt idx="19">
                  <c:v>0.64</c:v>
                </c:pt>
                <c:pt idx="20">
                  <c:v>0.66</c:v>
                </c:pt>
                <c:pt idx="21">
                  <c:v>0.68</c:v>
                </c:pt>
                <c:pt idx="22">
                  <c:v>0.7</c:v>
                </c:pt>
                <c:pt idx="23">
                  <c:v>0.72</c:v>
                </c:pt>
                <c:pt idx="24">
                  <c:v>0.74</c:v>
                </c:pt>
                <c:pt idx="25">
                  <c:v>0.76</c:v>
                </c:pt>
                <c:pt idx="26">
                  <c:v>0.78</c:v>
                </c:pt>
                <c:pt idx="27">
                  <c:v>0.8</c:v>
                </c:pt>
                <c:pt idx="28">
                  <c:v>0.82</c:v>
                </c:pt>
                <c:pt idx="29">
                  <c:v>0.84</c:v>
                </c:pt>
                <c:pt idx="30">
                  <c:v>0.86</c:v>
                </c:pt>
                <c:pt idx="31">
                  <c:v>0.88</c:v>
                </c:pt>
                <c:pt idx="32">
                  <c:v>0.9</c:v>
                </c:pt>
                <c:pt idx="33">
                  <c:v>1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1.3</c:v>
                </c:pt>
                <c:pt idx="37">
                  <c:v>1.4</c:v>
                </c:pt>
                <c:pt idx="38">
                  <c:v>1.5</c:v>
                </c:pt>
                <c:pt idx="39">
                  <c:v>1.6</c:v>
                </c:pt>
                <c:pt idx="40">
                  <c:v>1.7</c:v>
                </c:pt>
                <c:pt idx="41">
                  <c:v>1.8</c:v>
                </c:pt>
                <c:pt idx="42">
                  <c:v>1.9</c:v>
                </c:pt>
                <c:pt idx="43">
                  <c:v>2</c:v>
                </c:pt>
              </c:numCache>
            </c:numRef>
          </c:xVal>
          <c:yVal>
            <c:numRef>
              <c:f>part1!$C$2:$C$45</c:f>
              <c:numCache>
                <c:formatCode>General</c:formatCode>
                <c:ptCount val="44"/>
                <c:pt idx="0">
                  <c:v>-12.000000000000011</c:v>
                </c:pt>
                <c:pt idx="1">
                  <c:v>-11.000000000000011</c:v>
                </c:pt>
                <c:pt idx="2">
                  <c:v>-10.000000000000009</c:v>
                </c:pt>
                <c:pt idx="3">
                  <c:v>-9.0000000000000089</c:v>
                </c:pt>
                <c:pt idx="4">
                  <c:v>-8.0000000000000071</c:v>
                </c:pt>
                <c:pt idx="5">
                  <c:v>-6.0000000000000053</c:v>
                </c:pt>
                <c:pt idx="6">
                  <c:v>-2.0000000000000018</c:v>
                </c:pt>
                <c:pt idx="7">
                  <c:v>4.0000000000000036</c:v>
                </c:pt>
                <c:pt idx="8">
                  <c:v>12.999999999999989</c:v>
                </c:pt>
                <c:pt idx="9">
                  <c:v>25.999999999999979</c:v>
                </c:pt>
                <c:pt idx="10">
                  <c:v>47.000000000000014</c:v>
                </c:pt>
                <c:pt idx="11">
                  <c:v>77</c:v>
                </c:pt>
                <c:pt idx="12">
                  <c:v>110.99999999999997</c:v>
                </c:pt>
                <c:pt idx="13">
                  <c:v>146</c:v>
                </c:pt>
                <c:pt idx="14">
                  <c:v>220.0000000000002</c:v>
                </c:pt>
                <c:pt idx="15">
                  <c:v>370.00000000000011</c:v>
                </c:pt>
                <c:pt idx="16">
                  <c:v>500</c:v>
                </c:pt>
                <c:pt idx="17">
                  <c:v>620.00000000000011</c:v>
                </c:pt>
                <c:pt idx="18">
                  <c:v>720.00000000000023</c:v>
                </c:pt>
                <c:pt idx="19">
                  <c:v>580.00000000000011</c:v>
                </c:pt>
                <c:pt idx="20">
                  <c:v>500</c:v>
                </c:pt>
                <c:pt idx="21">
                  <c:v>570</c:v>
                </c:pt>
                <c:pt idx="22">
                  <c:v>720</c:v>
                </c:pt>
                <c:pt idx="23">
                  <c:v>910</c:v>
                </c:pt>
                <c:pt idx="24">
                  <c:v>1120</c:v>
                </c:pt>
                <c:pt idx="25">
                  <c:v>1350</c:v>
                </c:pt>
                <c:pt idx="26">
                  <c:v>1620</c:v>
                </c:pt>
                <c:pt idx="27">
                  <c:v>1900</c:v>
                </c:pt>
                <c:pt idx="28">
                  <c:v>2220</c:v>
                </c:pt>
                <c:pt idx="29">
                  <c:v>2570</c:v>
                </c:pt>
                <c:pt idx="30">
                  <c:v>2950</c:v>
                </c:pt>
                <c:pt idx="31">
                  <c:v>3360</c:v>
                </c:pt>
                <c:pt idx="32">
                  <c:v>3800</c:v>
                </c:pt>
                <c:pt idx="33">
                  <c:v>6420</c:v>
                </c:pt>
                <c:pt idx="34">
                  <c:v>9760</c:v>
                </c:pt>
                <c:pt idx="35">
                  <c:v>13810</c:v>
                </c:pt>
                <c:pt idx="36">
                  <c:v>18560</c:v>
                </c:pt>
                <c:pt idx="37">
                  <c:v>23900</c:v>
                </c:pt>
                <c:pt idx="38">
                  <c:v>30100</c:v>
                </c:pt>
                <c:pt idx="39">
                  <c:v>36800</c:v>
                </c:pt>
                <c:pt idx="40">
                  <c:v>44100</c:v>
                </c:pt>
                <c:pt idx="41">
                  <c:v>52100</c:v>
                </c:pt>
                <c:pt idx="42">
                  <c:v>60600</c:v>
                </c:pt>
                <c:pt idx="43">
                  <c:v>69600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AE-4E63-9D89-55287793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635903"/>
        <c:axId val="1002648863"/>
      </c:scatterChart>
      <c:valAx>
        <c:axId val="100263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48863"/>
        <c:crosses val="autoZero"/>
        <c:crossBetween val="midCat"/>
      </c:valAx>
      <c:valAx>
        <c:axId val="100264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63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615359</xdr:colOff>
      <xdr:row>2</xdr:row>
      <xdr:rowOff>55319</xdr:rowOff>
    </xdr:from>
    <xdr:to>
      <xdr:col>16</xdr:col>
      <xdr:colOff>6247</xdr:colOff>
      <xdr:row>17</xdr:row>
      <xdr:rowOff>83893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721CD8-5A20-10F7-912D-5206D5842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340507</xdr:colOff>
      <xdr:row>4</xdr:row>
      <xdr:rowOff>103003</xdr:rowOff>
    </xdr:from>
    <xdr:to>
      <xdr:col>23</xdr:col>
      <xdr:colOff>378119</xdr:colOff>
      <xdr:row>19</xdr:row>
      <xdr:rowOff>131578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9DBF00-7B06-B70E-4B77-7134D0FA0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392090</xdr:colOff>
      <xdr:row>21</xdr:row>
      <xdr:rowOff>37578</xdr:rowOff>
    </xdr:from>
    <xdr:to>
      <xdr:col>23</xdr:col>
      <xdr:colOff>442977</xdr:colOff>
      <xdr:row>36</xdr:row>
      <xdr:rowOff>40710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622FB0-0D44-2107-DE5B-0B17549F2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F5BE-E835-4F55-AB60-DD99E7BD0A0F}">
  <dimension ref="A1:H45"/>
  <sheetViews>
    <sheetView tabSelected="1" zoomScale="73" workbookViewId="0">
      <selection activeCell="H22" sqref="H2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45">
      <c r="A2">
        <v>0.15</v>
      </c>
      <c r="B2">
        <v>1.88</v>
      </c>
      <c r="C2">
        <f>(B2-2)*1000/10</f>
        <v>-12.000000000000011</v>
      </c>
      <c r="E2" t="e">
        <f>LOG10(C2)</f>
        <v>#NUM!</v>
      </c>
    </row>
    <row r="3" spans="1:6" x14ac:dyDescent="0.45">
      <c r="A3">
        <v>0.25</v>
      </c>
      <c r="B3">
        <v>1.89</v>
      </c>
      <c r="C3">
        <f t="shared" ref="C3:C29" si="0">(B3-2)*1000/10</f>
        <v>-11.000000000000011</v>
      </c>
      <c r="E3" t="e">
        <f t="shared" ref="E3:E24" si="1">LOG10(C3)</f>
        <v>#NUM!</v>
      </c>
    </row>
    <row r="4" spans="1:6" x14ac:dyDescent="0.45">
      <c r="A4">
        <v>0.3</v>
      </c>
      <c r="B4">
        <v>1.9</v>
      </c>
      <c r="C4">
        <f t="shared" si="0"/>
        <v>-10.000000000000009</v>
      </c>
      <c r="E4" t="e">
        <f t="shared" si="1"/>
        <v>#NUM!</v>
      </c>
    </row>
    <row r="5" spans="1:6" x14ac:dyDescent="0.45">
      <c r="A5">
        <v>0.32</v>
      </c>
      <c r="B5">
        <v>1.91</v>
      </c>
      <c r="C5">
        <f t="shared" si="0"/>
        <v>-9.0000000000000089</v>
      </c>
      <c r="E5" t="e">
        <f t="shared" si="1"/>
        <v>#NUM!</v>
      </c>
    </row>
    <row r="6" spans="1:6" x14ac:dyDescent="0.45">
      <c r="A6">
        <v>0.34</v>
      </c>
      <c r="B6">
        <v>1.92</v>
      </c>
      <c r="C6">
        <f t="shared" si="0"/>
        <v>-8.0000000000000071</v>
      </c>
      <c r="E6" t="e">
        <f t="shared" si="1"/>
        <v>#NUM!</v>
      </c>
    </row>
    <row r="7" spans="1:6" x14ac:dyDescent="0.45">
      <c r="A7">
        <v>0.36</v>
      </c>
      <c r="B7">
        <v>1.94</v>
      </c>
      <c r="C7">
        <f t="shared" si="0"/>
        <v>-6.0000000000000053</v>
      </c>
      <c r="E7" t="e">
        <f t="shared" si="1"/>
        <v>#NUM!</v>
      </c>
    </row>
    <row r="8" spans="1:6" x14ac:dyDescent="0.45">
      <c r="A8">
        <v>0.38</v>
      </c>
      <c r="B8">
        <v>1.98</v>
      </c>
      <c r="C8">
        <f t="shared" si="0"/>
        <v>-2.0000000000000018</v>
      </c>
      <c r="E8" t="e">
        <f t="shared" si="1"/>
        <v>#NUM!</v>
      </c>
    </row>
    <row r="9" spans="1:6" x14ac:dyDescent="0.45">
      <c r="A9">
        <v>0.4</v>
      </c>
      <c r="B9">
        <v>2.04</v>
      </c>
      <c r="C9">
        <f t="shared" si="0"/>
        <v>4.0000000000000036</v>
      </c>
      <c r="E9">
        <f t="shared" si="1"/>
        <v>0.60205999132796273</v>
      </c>
    </row>
    <row r="10" spans="1:6" x14ac:dyDescent="0.45">
      <c r="A10">
        <v>0.42</v>
      </c>
      <c r="B10">
        <v>2.13</v>
      </c>
      <c r="C10">
        <f t="shared" si="0"/>
        <v>12.999999999999989</v>
      </c>
      <c r="E10">
        <f t="shared" si="1"/>
        <v>1.1139433523068365</v>
      </c>
      <c r="F10">
        <f>SLOPE(E9:E23,A9:A23)</f>
        <v>7.2319502780157485</v>
      </c>
    </row>
    <row r="11" spans="1:6" x14ac:dyDescent="0.45">
      <c r="A11">
        <v>0.44</v>
      </c>
      <c r="B11">
        <v>2.2599999999999998</v>
      </c>
      <c r="C11">
        <f t="shared" si="0"/>
        <v>25.999999999999979</v>
      </c>
      <c r="E11">
        <f t="shared" si="1"/>
        <v>1.4149733479708175</v>
      </c>
    </row>
    <row r="12" spans="1:6" x14ac:dyDescent="0.45">
      <c r="A12">
        <v>0.46</v>
      </c>
      <c r="B12">
        <v>2.4700000000000002</v>
      </c>
      <c r="C12">
        <f t="shared" si="0"/>
        <v>47.000000000000014</v>
      </c>
      <c r="E12">
        <f t="shared" si="1"/>
        <v>1.6720978579357175</v>
      </c>
    </row>
    <row r="13" spans="1:6" x14ac:dyDescent="0.45">
      <c r="A13">
        <v>0.48</v>
      </c>
      <c r="B13">
        <v>2.77</v>
      </c>
      <c r="C13">
        <f t="shared" si="0"/>
        <v>77</v>
      </c>
      <c r="E13">
        <f t="shared" si="1"/>
        <v>1.8864907251724818</v>
      </c>
    </row>
    <row r="14" spans="1:6" x14ac:dyDescent="0.45">
      <c r="A14">
        <v>0.5</v>
      </c>
      <c r="B14">
        <v>3.11</v>
      </c>
      <c r="C14">
        <f t="shared" si="0"/>
        <v>110.99999999999997</v>
      </c>
      <c r="E14">
        <f t="shared" si="1"/>
        <v>2.0453229787866571</v>
      </c>
    </row>
    <row r="15" spans="1:6" x14ac:dyDescent="0.45">
      <c r="A15">
        <v>0.52</v>
      </c>
      <c r="B15">
        <v>3.46</v>
      </c>
      <c r="C15">
        <f t="shared" si="0"/>
        <v>146</v>
      </c>
      <c r="E15">
        <f t="shared" si="1"/>
        <v>2.1643528557844371</v>
      </c>
    </row>
    <row r="16" spans="1:6" x14ac:dyDescent="0.45">
      <c r="A16">
        <v>0.54</v>
      </c>
      <c r="B16">
        <v>3.5</v>
      </c>
      <c r="C16">
        <f>(D16-2)*1000</f>
        <v>220.0000000000002</v>
      </c>
      <c r="D16">
        <v>2.2200000000000002</v>
      </c>
      <c r="E16">
        <f t="shared" si="1"/>
        <v>2.3424226808222066</v>
      </c>
    </row>
    <row r="17" spans="1:8" x14ac:dyDescent="0.45">
      <c r="A17">
        <v>0.56000000000000005</v>
      </c>
      <c r="B17">
        <v>3.51</v>
      </c>
      <c r="C17">
        <f t="shared" ref="C17:C23" si="2">(D17-2)*1000</f>
        <v>370.00000000000011</v>
      </c>
      <c r="D17">
        <v>2.37</v>
      </c>
      <c r="E17">
        <f t="shared" si="1"/>
        <v>2.568201724066995</v>
      </c>
    </row>
    <row r="18" spans="1:8" x14ac:dyDescent="0.45">
      <c r="A18">
        <v>0.57999999999999996</v>
      </c>
      <c r="B18">
        <v>3.52</v>
      </c>
      <c r="C18">
        <f t="shared" si="2"/>
        <v>500</v>
      </c>
      <c r="D18">
        <v>2.5</v>
      </c>
      <c r="E18">
        <f t="shared" si="1"/>
        <v>2.6989700043360187</v>
      </c>
      <c r="G18" t="s">
        <v>6</v>
      </c>
      <c r="H18" t="s">
        <v>7</v>
      </c>
    </row>
    <row r="19" spans="1:8" x14ac:dyDescent="0.45">
      <c r="A19">
        <v>0.6</v>
      </c>
      <c r="B19">
        <v>3.52</v>
      </c>
      <c r="C19">
        <f t="shared" si="2"/>
        <v>620.00000000000011</v>
      </c>
      <c r="D19">
        <v>2.62</v>
      </c>
      <c r="E19">
        <f t="shared" si="1"/>
        <v>2.7923916894982539</v>
      </c>
      <c r="G19" t="s">
        <v>5</v>
      </c>
      <c r="H19">
        <v>0.54</v>
      </c>
    </row>
    <row r="20" spans="1:8" x14ac:dyDescent="0.45">
      <c r="A20">
        <v>0.62</v>
      </c>
      <c r="B20">
        <v>3.53</v>
      </c>
      <c r="C20">
        <f t="shared" si="2"/>
        <v>720.00000000000023</v>
      </c>
      <c r="D20">
        <v>2.72</v>
      </c>
      <c r="E20">
        <f t="shared" si="1"/>
        <v>2.8573324964312685</v>
      </c>
      <c r="G20" t="s">
        <v>8</v>
      </c>
      <c r="H20">
        <v>0.68</v>
      </c>
    </row>
    <row r="21" spans="1:8" x14ac:dyDescent="0.45">
      <c r="A21">
        <v>0.64</v>
      </c>
      <c r="B21">
        <v>3.53</v>
      </c>
      <c r="C21">
        <f t="shared" si="2"/>
        <v>580.00000000000011</v>
      </c>
      <c r="D21">
        <v>2.58</v>
      </c>
      <c r="E21">
        <f t="shared" si="1"/>
        <v>2.7634279935629373</v>
      </c>
      <c r="G21" t="s">
        <v>9</v>
      </c>
      <c r="H21">
        <v>2</v>
      </c>
    </row>
    <row r="22" spans="1:8" x14ac:dyDescent="0.45">
      <c r="A22">
        <v>0.66</v>
      </c>
      <c r="B22">
        <v>3.54</v>
      </c>
      <c r="C22">
        <f t="shared" si="2"/>
        <v>500</v>
      </c>
      <c r="D22">
        <v>2.5</v>
      </c>
      <c r="E22">
        <f t="shared" si="1"/>
        <v>2.6989700043360187</v>
      </c>
    </row>
    <row r="23" spans="1:8" x14ac:dyDescent="0.45">
      <c r="A23">
        <v>0.68</v>
      </c>
      <c r="B23">
        <v>3.54</v>
      </c>
      <c r="C23">
        <v>570</v>
      </c>
      <c r="D23">
        <v>2.5</v>
      </c>
      <c r="E23">
        <f t="shared" si="1"/>
        <v>2.7558748556724915</v>
      </c>
    </row>
    <row r="24" spans="1:8" x14ac:dyDescent="0.45">
      <c r="A24">
        <v>0.7</v>
      </c>
      <c r="C24">
        <v>720</v>
      </c>
      <c r="E24">
        <f t="shared" si="1"/>
        <v>2.8573324964312685</v>
      </c>
    </row>
    <row r="25" spans="1:8" x14ac:dyDescent="0.45">
      <c r="A25">
        <v>0.72</v>
      </c>
      <c r="C25">
        <v>910</v>
      </c>
    </row>
    <row r="26" spans="1:8" x14ac:dyDescent="0.45">
      <c r="A26">
        <v>0.74</v>
      </c>
      <c r="C26">
        <v>1120</v>
      </c>
    </row>
    <row r="27" spans="1:8" x14ac:dyDescent="0.45">
      <c r="A27">
        <v>0.76</v>
      </c>
      <c r="C27">
        <v>1350</v>
      </c>
    </row>
    <row r="28" spans="1:8" x14ac:dyDescent="0.45">
      <c r="A28">
        <v>0.78</v>
      </c>
      <c r="C28">
        <v>1620</v>
      </c>
    </row>
    <row r="29" spans="1:8" x14ac:dyDescent="0.45">
      <c r="A29">
        <v>0.8</v>
      </c>
      <c r="C29">
        <v>1900</v>
      </c>
    </row>
    <row r="30" spans="1:8" x14ac:dyDescent="0.45">
      <c r="A30">
        <v>0.82</v>
      </c>
      <c r="C30">
        <v>2220</v>
      </c>
    </row>
    <row r="31" spans="1:8" x14ac:dyDescent="0.45">
      <c r="A31">
        <v>0.84</v>
      </c>
      <c r="C31">
        <v>2570</v>
      </c>
    </row>
    <row r="32" spans="1:8" x14ac:dyDescent="0.45">
      <c r="A32">
        <v>0.86</v>
      </c>
      <c r="C32">
        <v>2950</v>
      </c>
    </row>
    <row r="33" spans="1:3" x14ac:dyDescent="0.45">
      <c r="A33">
        <v>0.88</v>
      </c>
      <c r="C33">
        <v>3360</v>
      </c>
    </row>
    <row r="34" spans="1:3" x14ac:dyDescent="0.45">
      <c r="A34">
        <v>0.9</v>
      </c>
      <c r="C34">
        <v>3800</v>
      </c>
    </row>
    <row r="35" spans="1:3" x14ac:dyDescent="0.45">
      <c r="A35">
        <v>1</v>
      </c>
      <c r="C35">
        <v>6420</v>
      </c>
    </row>
    <row r="36" spans="1:3" x14ac:dyDescent="0.45">
      <c r="A36">
        <v>1.1000000000000001</v>
      </c>
      <c r="C36">
        <v>9760</v>
      </c>
    </row>
    <row r="37" spans="1:3" x14ac:dyDescent="0.45">
      <c r="A37">
        <v>1.2</v>
      </c>
      <c r="C37">
        <v>13810</v>
      </c>
    </row>
    <row r="38" spans="1:3" x14ac:dyDescent="0.45">
      <c r="A38">
        <v>1.3</v>
      </c>
      <c r="C38">
        <v>18560</v>
      </c>
    </row>
    <row r="39" spans="1:3" x14ac:dyDescent="0.45">
      <c r="A39">
        <v>1.4</v>
      </c>
      <c r="C39">
        <v>23900</v>
      </c>
    </row>
    <row r="40" spans="1:3" x14ac:dyDescent="0.45">
      <c r="A40">
        <v>1.5</v>
      </c>
      <c r="C40">
        <v>30100</v>
      </c>
    </row>
    <row r="41" spans="1:3" x14ac:dyDescent="0.45">
      <c r="A41">
        <v>1.6</v>
      </c>
      <c r="C41">
        <v>36800</v>
      </c>
    </row>
    <row r="42" spans="1:3" x14ac:dyDescent="0.45">
      <c r="A42">
        <v>1.7</v>
      </c>
      <c r="C42">
        <v>44100</v>
      </c>
    </row>
    <row r="43" spans="1:3" x14ac:dyDescent="0.45">
      <c r="A43">
        <v>1.8</v>
      </c>
      <c r="C43">
        <v>52100</v>
      </c>
    </row>
    <row r="44" spans="1:3" x14ac:dyDescent="0.45">
      <c r="A44">
        <v>1.9</v>
      </c>
      <c r="C44">
        <v>60600</v>
      </c>
    </row>
    <row r="45" spans="1:3" x14ac:dyDescent="0.45">
      <c r="A45">
        <v>2</v>
      </c>
      <c r="C45">
        <v>69600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G</dc:creator>
  <cp:lastModifiedBy>Garima G</cp:lastModifiedBy>
  <dcterms:created xsi:type="dcterms:W3CDTF">2024-10-29T03:18:18Z</dcterms:created>
  <dcterms:modified xsi:type="dcterms:W3CDTF">2024-10-29T04:30:37Z</dcterms:modified>
</cp:coreProperties>
</file>